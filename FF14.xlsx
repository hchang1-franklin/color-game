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薩維奈圓蔥" sheetId="1" r:id="rId1"/>
    <sheet name="潛水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1" i="2" l="1"/>
  <c r="W40" i="2"/>
  <c r="W39" i="2"/>
  <c r="W35" i="2"/>
  <c r="W34" i="2"/>
  <c r="W33" i="2"/>
  <c r="W29" i="2"/>
  <c r="W28" i="2"/>
  <c r="W27" i="2"/>
  <c r="W13" i="2"/>
  <c r="W12" i="2"/>
  <c r="W8" i="2"/>
  <c r="W7" i="2"/>
  <c r="W23" i="2"/>
  <c r="W22" i="2"/>
  <c r="W24" i="2" s="1"/>
  <c r="W3" i="2"/>
  <c r="W2" i="2"/>
  <c r="W4" i="2" s="1"/>
  <c r="W18" i="2"/>
  <c r="W1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" i="2"/>
  <c r="I2" i="2"/>
  <c r="W42" i="2" l="1"/>
  <c r="W19" i="2"/>
  <c r="W36" i="2"/>
  <c r="W30" i="2"/>
  <c r="W14" i="2"/>
  <c r="W9" i="2"/>
  <c r="O24" i="2"/>
  <c r="F16" i="1"/>
  <c r="H16" i="1" s="1"/>
  <c r="F17" i="1"/>
  <c r="H17" i="1" s="1"/>
  <c r="F15" i="1"/>
  <c r="H15" i="1" s="1"/>
  <c r="F10" i="1"/>
  <c r="H10" i="1" s="1"/>
  <c r="F11" i="1"/>
  <c r="H11" i="1" s="1"/>
  <c r="F5" i="1"/>
  <c r="H5" i="1" s="1"/>
  <c r="F4" i="1"/>
  <c r="H4" i="1" s="1"/>
  <c r="F9" i="1"/>
  <c r="H9" i="1" s="1"/>
  <c r="F3" i="1"/>
  <c r="H3" i="1" s="1"/>
  <c r="F2" i="1"/>
  <c r="H2" i="1" s="1"/>
  <c r="H12" i="1" l="1"/>
  <c r="H6" i="1"/>
  <c r="H18" i="1"/>
</calcChain>
</file>

<file path=xl/sharedStrings.xml><?xml version="1.0" encoding="utf-8"?>
<sst xmlns="http://schemas.openxmlformats.org/spreadsheetml/2006/main" count="207" uniqueCount="94">
  <si>
    <t>高級園圃(8格)</t>
    <phoneticPr fontId="1" type="noConversion"/>
  </si>
  <si>
    <t>多刺鳳梨種子</t>
    <phoneticPr fontId="1" type="noConversion"/>
  </si>
  <si>
    <t>3級薩納蘭土壤</t>
  </si>
  <si>
    <t>市價</t>
    <phoneticPr fontId="1" type="noConversion"/>
  </si>
  <si>
    <t>項目</t>
    <phoneticPr fontId="1" type="noConversion"/>
  </si>
  <si>
    <t>綠洲/林間/海濱花盆</t>
    <phoneticPr fontId="1" type="noConversion"/>
  </si>
  <si>
    <t>NPC</t>
    <phoneticPr fontId="1" type="noConversion"/>
  </si>
  <si>
    <t>魚粉</t>
    <phoneticPr fontId="1" type="noConversion"/>
  </si>
  <si>
    <t>v</t>
    <phoneticPr fontId="1" type="noConversion"/>
  </si>
  <si>
    <t>釉質堅果種子</t>
    <phoneticPr fontId="1" type="noConversion"/>
  </si>
  <si>
    <t>中原甘藍種子</t>
    <phoneticPr fontId="1" type="noConversion"/>
  </si>
  <si>
    <t>克拉卡蘿蔔種子</t>
    <phoneticPr fontId="1" type="noConversion"/>
  </si>
  <si>
    <t>數量</t>
    <phoneticPr fontId="1" type="noConversion"/>
  </si>
  <si>
    <t>3級薩納蘭土壤</t>
    <phoneticPr fontId="1" type="noConversion"/>
  </si>
  <si>
    <t>總金額</t>
    <phoneticPr fontId="1" type="noConversion"/>
  </si>
  <si>
    <t>米梅特葫蘆種子</t>
    <phoneticPr fontId="1" type="noConversion"/>
  </si>
  <si>
    <t>坦塔爾矮瓜種子</t>
  </si>
  <si>
    <t>皇家可可豆種子</t>
    <phoneticPr fontId="1" type="noConversion"/>
  </si>
  <si>
    <t>舊世界無花果種子</t>
    <phoneticPr fontId="1" type="noConversion"/>
  </si>
  <si>
    <t>不收成</t>
    <phoneticPr fontId="1" type="noConversion"/>
  </si>
  <si>
    <t>薩維奈圓蔥種子</t>
    <phoneticPr fontId="1" type="noConversion"/>
  </si>
  <si>
    <t>3級薩納蘭土壤</t>
    <phoneticPr fontId="1" type="noConversion"/>
  </si>
  <si>
    <t>園藝土</t>
    <phoneticPr fontId="1" type="noConversion"/>
  </si>
  <si>
    <t>8-9分鐘可以挖</t>
    <phoneticPr fontId="1" type="noConversion"/>
  </si>
  <si>
    <t>雇員(挖礦)</t>
    <phoneticPr fontId="1" type="noConversion"/>
  </si>
  <si>
    <t>1小時2次</t>
    <phoneticPr fontId="1" type="noConversion"/>
  </si>
  <si>
    <t>1小時1次</t>
    <phoneticPr fontId="1" type="noConversion"/>
  </si>
  <si>
    <t>雇員(挖草)</t>
    <phoneticPr fontId="1" type="noConversion"/>
  </si>
  <si>
    <t>1個雇員40分鐘9個</t>
    <phoneticPr fontId="1" type="noConversion"/>
  </si>
  <si>
    <t>部隊工坊</t>
    <phoneticPr fontId="1" type="noConversion"/>
  </si>
  <si>
    <t>白銀錠</t>
    <phoneticPr fontId="1" type="noConversion"/>
  </si>
  <si>
    <t>金額</t>
    <phoneticPr fontId="1" type="noConversion"/>
  </si>
  <si>
    <t>咩波</t>
    <phoneticPr fontId="1" type="noConversion"/>
  </si>
  <si>
    <t>資金提供人</t>
    <phoneticPr fontId="1" type="noConversion"/>
  </si>
  <si>
    <t>公會戰績</t>
    <phoneticPr fontId="1" type="noConversion"/>
  </si>
  <si>
    <t>公會戰績</t>
    <phoneticPr fontId="1" type="noConversion"/>
  </si>
  <si>
    <t>潛水艇登記票(4台)</t>
    <phoneticPr fontId="1" type="noConversion"/>
  </si>
  <si>
    <t>潛水艇設計圖1</t>
    <phoneticPr fontId="1" type="noConversion"/>
  </si>
  <si>
    <t>潛水艇設計圖2</t>
    <phoneticPr fontId="1" type="noConversion"/>
  </si>
  <si>
    <t>潛水艇設計圖3</t>
    <phoneticPr fontId="1" type="noConversion"/>
  </si>
  <si>
    <t>潛水艇設計圖4</t>
    <phoneticPr fontId="1" type="noConversion"/>
  </si>
  <si>
    <t>OK</t>
    <phoneticPr fontId="1" type="noConversion"/>
  </si>
  <si>
    <t xml:space="preserve"> 紅松木材</t>
    <phoneticPr fontId="1" type="noConversion"/>
  </si>
  <si>
    <t>潛水艇部件1111</t>
    <phoneticPr fontId="1" type="noConversion"/>
  </si>
  <si>
    <t>竹片</t>
    <phoneticPr fontId="1" type="noConversion"/>
  </si>
  <si>
    <t>輕木廢材</t>
    <phoneticPr fontId="1" type="noConversion"/>
  </si>
  <si>
    <t>輕木木材</t>
    <phoneticPr fontId="1" type="noConversion"/>
  </si>
  <si>
    <t>煉金纖維</t>
    <phoneticPr fontId="1" type="noConversion"/>
  </si>
  <si>
    <t>派船</t>
    <phoneticPr fontId="1" type="noConversion"/>
  </si>
  <si>
    <t>白鋼錠</t>
    <phoneticPr fontId="1" type="noConversion"/>
  </si>
  <si>
    <t>鈷鐵錠</t>
    <phoneticPr fontId="1" type="noConversion"/>
  </si>
  <si>
    <t>玄鋼錠</t>
    <phoneticPr fontId="1" type="noConversion"/>
  </si>
  <si>
    <t>玄鋼塊</t>
    <phoneticPr fontId="1" type="noConversion"/>
  </si>
  <si>
    <t>古神木材</t>
    <phoneticPr fontId="1" type="noConversion"/>
  </si>
  <si>
    <t>綠金錠</t>
    <phoneticPr fontId="1" type="noConversion"/>
  </si>
  <si>
    <t>玫瑰金錠</t>
    <phoneticPr fontId="1" type="noConversion"/>
  </si>
  <si>
    <t>秘銀板</t>
    <phoneticPr fontId="1" type="noConversion"/>
  </si>
  <si>
    <t>雪松木材</t>
    <phoneticPr fontId="1" type="noConversion"/>
  </si>
  <si>
    <t>胡桃木材</t>
    <phoneticPr fontId="1" type="noConversion"/>
  </si>
  <si>
    <t>雲杉木材</t>
  </si>
  <si>
    <t>雲杉木材</t>
    <phoneticPr fontId="1" type="noConversion"/>
  </si>
  <si>
    <t>硬化雲杉木材</t>
    <phoneticPr fontId="1" type="noConversion"/>
  </si>
  <si>
    <t>鬼膠</t>
    <phoneticPr fontId="1" type="noConversion"/>
  </si>
  <si>
    <t>清漆</t>
    <phoneticPr fontId="1" type="noConversion"/>
  </si>
  <si>
    <t>黑鐵釘</t>
    <phoneticPr fontId="1" type="noConversion"/>
  </si>
  <si>
    <t>白鋼連接板</t>
    <phoneticPr fontId="1" type="noConversion"/>
  </si>
  <si>
    <t>鈷鐵連接板</t>
    <phoneticPr fontId="1" type="noConversion"/>
  </si>
  <si>
    <t>蜥蜴族</t>
    <phoneticPr fontId="1" type="noConversion"/>
  </si>
  <si>
    <t>銀礦</t>
    <phoneticPr fontId="1" type="noConversion"/>
  </si>
  <si>
    <t>風之碎晶</t>
    <phoneticPr fontId="1" type="noConversion"/>
  </si>
  <si>
    <t>黑鐵鉚釘</t>
    <phoneticPr fontId="1" type="noConversion"/>
  </si>
  <si>
    <t>白鋼鉚釘</t>
    <phoneticPr fontId="1" type="noConversion"/>
  </si>
  <si>
    <t>鈷鐵鉚釘</t>
    <phoneticPr fontId="1" type="noConversion"/>
  </si>
  <si>
    <t>秘銀鉚釘</t>
    <phoneticPr fontId="1" type="noConversion"/>
  </si>
  <si>
    <t>火之碎晶</t>
    <phoneticPr fontId="1" type="noConversion"/>
  </si>
  <si>
    <t>制作(鈷鐵錠1+火碎5)</t>
    <phoneticPr fontId="1" type="noConversion"/>
  </si>
  <si>
    <t>黑鐵錠</t>
    <phoneticPr fontId="1" type="noConversion"/>
  </si>
  <si>
    <t>冰之碎晶</t>
    <phoneticPr fontId="1" type="noConversion"/>
  </si>
  <si>
    <t>制作(鈷鐵錠1+冰碎5)</t>
    <phoneticPr fontId="1" type="noConversion"/>
  </si>
  <si>
    <t>水之碎晶</t>
    <phoneticPr fontId="1" type="noConversion"/>
  </si>
  <si>
    <t>山羊角</t>
    <phoneticPr fontId="1" type="noConversion"/>
  </si>
  <si>
    <t>制作(山羊角2+水碎3)</t>
    <phoneticPr fontId="1" type="noConversion"/>
  </si>
  <si>
    <t>蜥蜴族583</t>
    <phoneticPr fontId="1" type="noConversion"/>
  </si>
  <si>
    <t>焦炭</t>
    <phoneticPr fontId="1" type="noConversion"/>
  </si>
  <si>
    <t>火之晶簇</t>
  </si>
  <si>
    <t>軍票200</t>
    <phoneticPr fontId="1" type="noConversion"/>
  </si>
  <si>
    <t>桶裝青磷水(1桶)</t>
    <phoneticPr fontId="1" type="noConversion"/>
  </si>
  <si>
    <t>燃料</t>
    <phoneticPr fontId="1" type="noConversion"/>
  </si>
  <si>
    <t>蜥蜴族73</t>
    <phoneticPr fontId="1" type="noConversion"/>
  </si>
  <si>
    <t>斑銅礦</t>
    <phoneticPr fontId="1" type="noConversion"/>
  </si>
  <si>
    <t>玫瑰金塊</t>
    <phoneticPr fontId="1" type="noConversion"/>
  </si>
  <si>
    <t>風之晶簇</t>
    <phoneticPr fontId="1" type="noConversion"/>
  </si>
  <si>
    <t>樹汁塊</t>
  </si>
  <si>
    <t>可以考慮制作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</si>
</sst>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 applyAlignment="1"/>
    <xf numFmtId="0" fontId="0" fillId="4" borderId="1" xfId="0" applyFill="1" applyBorder="1" applyAlignment="1">
      <alignment horizontal="center"/>
    </xf>
    <xf numFmtId="176" fontId="0" fillId="0" borderId="1" xfId="0" applyNumberFormat="1" applyBorder="1"/>
    <xf numFmtId="0" fontId="0" fillId="0" borderId="0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176" fontId="0" fillId="5" borderId="1" xfId="0" applyNumberForma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J6" sqref="J6"/>
    </sheetView>
  </sheetViews>
  <sheetFormatPr defaultRowHeight="15.75" x14ac:dyDescent="0.25"/>
  <cols>
    <col min="1" max="1" width="20" style="1" bestFit="1" customWidth="1"/>
    <col min="2" max="2" width="8.28515625" bestFit="1" customWidth="1"/>
    <col min="3" max="3" width="5.5703125" bestFit="1" customWidth="1"/>
    <col min="4" max="4" width="3" customWidth="1"/>
    <col min="5" max="5" width="20" bestFit="1" customWidth="1"/>
    <col min="6" max="6" width="7.28515625" bestFit="1" customWidth="1"/>
    <col min="7" max="7" width="6" bestFit="1" customWidth="1"/>
  </cols>
  <sheetData>
    <row r="1" spans="1:9" x14ac:dyDescent="0.25">
      <c r="A1" s="6" t="s">
        <v>4</v>
      </c>
      <c r="B1" s="6" t="s">
        <v>3</v>
      </c>
      <c r="C1" s="6" t="s">
        <v>6</v>
      </c>
      <c r="E1" s="6" t="s">
        <v>17</v>
      </c>
      <c r="F1" s="6" t="s">
        <v>3</v>
      </c>
      <c r="G1" s="6" t="s">
        <v>12</v>
      </c>
      <c r="H1" s="6" t="s">
        <v>14</v>
      </c>
    </row>
    <row r="2" spans="1:9" x14ac:dyDescent="0.25">
      <c r="A2" s="2" t="s">
        <v>0</v>
      </c>
      <c r="B2" s="3">
        <v>48000</v>
      </c>
      <c r="C2" s="2" t="s">
        <v>8</v>
      </c>
      <c r="E2" s="2" t="s">
        <v>15</v>
      </c>
      <c r="F2" s="7">
        <f>B9</f>
        <v>52000</v>
      </c>
      <c r="G2" s="4">
        <v>3</v>
      </c>
      <c r="H2" s="3">
        <f>F2*G2</f>
        <v>156000</v>
      </c>
    </row>
    <row r="3" spans="1:9" x14ac:dyDescent="0.25">
      <c r="A3" s="2" t="s">
        <v>5</v>
      </c>
      <c r="B3" s="3">
        <v>1200</v>
      </c>
      <c r="C3" s="2" t="s">
        <v>8</v>
      </c>
      <c r="E3" s="2" t="s">
        <v>18</v>
      </c>
      <c r="F3" s="7">
        <f>B12</f>
        <v>200</v>
      </c>
      <c r="G3" s="4">
        <v>7</v>
      </c>
      <c r="H3" s="3">
        <f t="shared" ref="H3:H5" si="0">F3*G3</f>
        <v>1400</v>
      </c>
    </row>
    <row r="4" spans="1:9" x14ac:dyDescent="0.25">
      <c r="A4" s="2" t="s">
        <v>7</v>
      </c>
      <c r="B4" s="4">
        <v>16</v>
      </c>
      <c r="C4" s="2" t="s">
        <v>8</v>
      </c>
      <c r="E4" s="2" t="s">
        <v>2</v>
      </c>
      <c r="F4" s="7">
        <f>B5</f>
        <v>1200</v>
      </c>
      <c r="G4" s="4">
        <v>8</v>
      </c>
      <c r="H4" s="3">
        <f t="shared" si="0"/>
        <v>9600</v>
      </c>
    </row>
    <row r="5" spans="1:9" x14ac:dyDescent="0.25">
      <c r="A5" s="8" t="s">
        <v>13</v>
      </c>
      <c r="B5" s="3">
        <v>1200</v>
      </c>
      <c r="C5" s="2"/>
      <c r="E5" s="2" t="s">
        <v>22</v>
      </c>
      <c r="F5" s="3">
        <f>B6</f>
        <v>120</v>
      </c>
      <c r="G5" s="4">
        <v>2</v>
      </c>
      <c r="H5" s="3">
        <f t="shared" si="0"/>
        <v>240</v>
      </c>
    </row>
    <row r="6" spans="1:9" x14ac:dyDescent="0.25">
      <c r="A6" s="2" t="s">
        <v>22</v>
      </c>
      <c r="B6" s="3">
        <v>120</v>
      </c>
      <c r="C6" s="2"/>
      <c r="E6" s="4"/>
      <c r="F6" s="4"/>
      <c r="G6" s="4"/>
      <c r="H6" s="3">
        <f>SUM(H2:H5)</f>
        <v>167240</v>
      </c>
    </row>
    <row r="7" spans="1:9" x14ac:dyDescent="0.25">
      <c r="A7" s="2"/>
      <c r="B7" s="4"/>
      <c r="C7" s="2"/>
    </row>
    <row r="8" spans="1:9" x14ac:dyDescent="0.25">
      <c r="A8" s="2" t="s">
        <v>9</v>
      </c>
      <c r="B8" s="3">
        <v>15000</v>
      </c>
      <c r="C8" s="2"/>
      <c r="E8" s="6" t="s">
        <v>17</v>
      </c>
      <c r="F8" s="6" t="s">
        <v>3</v>
      </c>
      <c r="G8" s="6" t="s">
        <v>12</v>
      </c>
      <c r="H8" s="6" t="s">
        <v>14</v>
      </c>
    </row>
    <row r="9" spans="1:9" x14ac:dyDescent="0.25">
      <c r="A9" s="5" t="s">
        <v>15</v>
      </c>
      <c r="B9" s="3">
        <v>52000</v>
      </c>
      <c r="C9" s="4"/>
      <c r="E9" s="2" t="s">
        <v>15</v>
      </c>
      <c r="F9" s="7">
        <f>B15</f>
        <v>0</v>
      </c>
      <c r="G9" s="4">
        <v>3</v>
      </c>
      <c r="H9" s="3">
        <f>F9*G9</f>
        <v>0</v>
      </c>
      <c r="I9" t="s">
        <v>19</v>
      </c>
    </row>
    <row r="10" spans="1:9" x14ac:dyDescent="0.25">
      <c r="A10" s="2"/>
      <c r="B10" s="4"/>
      <c r="C10" s="4"/>
      <c r="E10" s="2" t="s">
        <v>18</v>
      </c>
      <c r="F10" s="7">
        <f>B12</f>
        <v>200</v>
      </c>
      <c r="G10" s="4">
        <v>5</v>
      </c>
      <c r="H10" s="3">
        <f t="shared" ref="H10:H11" si="1">F10*G10</f>
        <v>1000</v>
      </c>
    </row>
    <row r="11" spans="1:9" x14ac:dyDescent="0.25">
      <c r="A11" s="2" t="s">
        <v>1</v>
      </c>
      <c r="B11" s="3">
        <v>1000</v>
      </c>
      <c r="C11" s="4"/>
      <c r="E11" s="2" t="s">
        <v>2</v>
      </c>
      <c r="F11" s="7">
        <f>B5</f>
        <v>1200</v>
      </c>
      <c r="G11" s="4">
        <v>5</v>
      </c>
      <c r="H11" s="3">
        <f t="shared" si="1"/>
        <v>6000</v>
      </c>
    </row>
    <row r="12" spans="1:9" x14ac:dyDescent="0.25">
      <c r="A12" s="5" t="s">
        <v>18</v>
      </c>
      <c r="B12" s="3">
        <v>200</v>
      </c>
      <c r="C12" s="4"/>
      <c r="E12" s="4"/>
      <c r="F12" s="4"/>
      <c r="G12" s="4"/>
      <c r="H12" s="3">
        <f>SUM(H9:H11)</f>
        <v>7000</v>
      </c>
    </row>
    <row r="13" spans="1:9" x14ac:dyDescent="0.25">
      <c r="A13" s="2" t="s">
        <v>10</v>
      </c>
      <c r="B13" s="3">
        <v>1700</v>
      </c>
      <c r="C13" s="4"/>
    </row>
    <row r="14" spans="1:9" x14ac:dyDescent="0.25">
      <c r="A14" s="2" t="s">
        <v>11</v>
      </c>
      <c r="B14" s="3">
        <v>3480</v>
      </c>
      <c r="C14" s="2" t="s">
        <v>8</v>
      </c>
      <c r="E14" s="6" t="s">
        <v>20</v>
      </c>
      <c r="F14" s="6" t="s">
        <v>3</v>
      </c>
      <c r="G14" s="6" t="s">
        <v>12</v>
      </c>
      <c r="H14" s="6" t="s">
        <v>14</v>
      </c>
    </row>
    <row r="15" spans="1:9" x14ac:dyDescent="0.25">
      <c r="A15" s="2"/>
      <c r="B15" s="4"/>
      <c r="C15" s="4"/>
      <c r="E15" s="2" t="s">
        <v>15</v>
      </c>
      <c r="F15" s="7">
        <f>B21</f>
        <v>0</v>
      </c>
      <c r="G15" s="4">
        <v>3</v>
      </c>
      <c r="H15" s="3">
        <f>F15*G15</f>
        <v>0</v>
      </c>
      <c r="I15" t="s">
        <v>19</v>
      </c>
    </row>
    <row r="16" spans="1:9" x14ac:dyDescent="0.25">
      <c r="A16" s="2" t="s">
        <v>16</v>
      </c>
      <c r="B16" s="3">
        <v>60000</v>
      </c>
      <c r="C16" s="4"/>
      <c r="E16" s="2" t="s">
        <v>17</v>
      </c>
      <c r="F16" s="7">
        <f>B17</f>
        <v>41000</v>
      </c>
      <c r="G16" s="4">
        <v>5</v>
      </c>
      <c r="H16" s="3">
        <f t="shared" ref="H16:H17" si="2">F16*G16</f>
        <v>205000</v>
      </c>
    </row>
    <row r="17" spans="1:8" x14ac:dyDescent="0.25">
      <c r="A17" s="2" t="s">
        <v>17</v>
      </c>
      <c r="B17" s="3">
        <v>41000</v>
      </c>
      <c r="C17" s="4"/>
      <c r="E17" s="2" t="s">
        <v>21</v>
      </c>
      <c r="F17" s="7">
        <f>B5</f>
        <v>1200</v>
      </c>
      <c r="G17" s="4">
        <v>5</v>
      </c>
      <c r="H17" s="3">
        <f t="shared" si="2"/>
        <v>6000</v>
      </c>
    </row>
    <row r="18" spans="1:8" x14ac:dyDescent="0.25">
      <c r="A18" s="2"/>
      <c r="B18" s="4"/>
      <c r="C18" s="4"/>
      <c r="E18" s="4"/>
      <c r="F18" s="4"/>
      <c r="G18" s="4"/>
      <c r="H18" s="3">
        <f>SUM(H15:H17)</f>
        <v>211000</v>
      </c>
    </row>
    <row r="19" spans="1:8" x14ac:dyDescent="0.25">
      <c r="A19" s="2" t="s">
        <v>20</v>
      </c>
      <c r="B19" s="3">
        <v>110000</v>
      </c>
      <c r="C19" s="4"/>
    </row>
    <row r="22" spans="1:8" x14ac:dyDescent="0.25">
      <c r="A22" s="8" t="s">
        <v>13</v>
      </c>
      <c r="B22" t="s">
        <v>26</v>
      </c>
    </row>
    <row r="23" spans="1:8" x14ac:dyDescent="0.25">
      <c r="A23" s="1" t="s">
        <v>24</v>
      </c>
      <c r="B23" t="s">
        <v>23</v>
      </c>
    </row>
    <row r="25" spans="1:8" x14ac:dyDescent="0.25">
      <c r="A25" s="5" t="s">
        <v>18</v>
      </c>
      <c r="B25" t="s">
        <v>25</v>
      </c>
    </row>
    <row r="26" spans="1:8" x14ac:dyDescent="0.25">
      <c r="A26" s="1" t="s">
        <v>27</v>
      </c>
      <c r="B26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topLeftCell="C13" zoomScaleNormal="100" workbookViewId="0">
      <selection activeCell="O29" sqref="O29"/>
    </sheetView>
  </sheetViews>
  <sheetFormatPr defaultRowHeight="15.75" x14ac:dyDescent="0.25"/>
  <cols>
    <col min="1" max="1" width="20.28515625" bestFit="1" customWidth="1"/>
    <col min="2" max="2" width="10.42578125" bestFit="1" customWidth="1"/>
    <col min="3" max="3" width="6" bestFit="1" customWidth="1"/>
    <col min="4" max="4" width="4.28515625" customWidth="1"/>
    <col min="5" max="5" width="6.5703125" customWidth="1"/>
    <col min="6" max="6" width="18.7109375" bestFit="1" customWidth="1"/>
    <col min="7" max="8" width="6" bestFit="1" customWidth="1"/>
    <col min="9" max="9" width="8.140625" bestFit="1" customWidth="1"/>
    <col min="10" max="10" width="5" customWidth="1"/>
    <col min="11" max="11" width="6.5703125" customWidth="1"/>
    <col min="12" max="12" width="18.7109375" bestFit="1" customWidth="1"/>
    <col min="13" max="13" width="6.85546875" bestFit="1" customWidth="1"/>
    <col min="14" max="14" width="6" bestFit="1" customWidth="1"/>
    <col min="15" max="15" width="8.85546875" bestFit="1" customWidth="1"/>
    <col min="18" max="18" width="4.85546875" customWidth="1"/>
    <col min="19" max="19" width="6.28515625" customWidth="1"/>
    <col min="20" max="20" width="15.140625" bestFit="1" customWidth="1"/>
  </cols>
  <sheetData>
    <row r="1" spans="1:23" x14ac:dyDescent="0.25">
      <c r="A1" s="6" t="s">
        <v>4</v>
      </c>
      <c r="B1" s="6" t="s">
        <v>3</v>
      </c>
      <c r="C1" s="6" t="s">
        <v>6</v>
      </c>
      <c r="D1" s="10"/>
      <c r="E1" s="6" t="s">
        <v>41</v>
      </c>
      <c r="F1" s="6" t="s">
        <v>37</v>
      </c>
      <c r="G1" s="6" t="s">
        <v>3</v>
      </c>
      <c r="H1" s="6" t="s">
        <v>12</v>
      </c>
      <c r="I1" s="6" t="s">
        <v>14</v>
      </c>
      <c r="K1" s="6" t="s">
        <v>41</v>
      </c>
      <c r="L1" s="6" t="s">
        <v>43</v>
      </c>
      <c r="M1" s="6" t="s">
        <v>3</v>
      </c>
      <c r="N1" s="6" t="s">
        <v>12</v>
      </c>
      <c r="O1" s="6" t="s">
        <v>14</v>
      </c>
      <c r="S1" s="6" t="s">
        <v>41</v>
      </c>
      <c r="T1" s="6" t="s">
        <v>72</v>
      </c>
      <c r="U1" s="6" t="s">
        <v>3</v>
      </c>
      <c r="V1" s="6" t="s">
        <v>12</v>
      </c>
      <c r="W1" s="6" t="s">
        <v>14</v>
      </c>
    </row>
    <row r="2" spans="1:23" x14ac:dyDescent="0.25">
      <c r="A2" s="2" t="s">
        <v>29</v>
      </c>
      <c r="B2" s="9">
        <v>800000</v>
      </c>
      <c r="C2" s="2" t="s">
        <v>8</v>
      </c>
      <c r="D2" s="10"/>
      <c r="E2" s="2"/>
      <c r="F2" s="2" t="s">
        <v>42</v>
      </c>
      <c r="G2" s="9">
        <v>400</v>
      </c>
      <c r="H2" s="9">
        <v>6</v>
      </c>
      <c r="I2" s="9">
        <f>G2*H2</f>
        <v>2400</v>
      </c>
      <c r="K2" s="2"/>
      <c r="L2" s="2" t="s">
        <v>49</v>
      </c>
      <c r="M2" s="9">
        <v>258</v>
      </c>
      <c r="N2" s="9">
        <v>105</v>
      </c>
      <c r="O2" s="9">
        <f>M2*N2</f>
        <v>27090</v>
      </c>
      <c r="P2" t="s">
        <v>67</v>
      </c>
      <c r="S2" s="4"/>
      <c r="T2" s="2" t="s">
        <v>50</v>
      </c>
      <c r="U2" s="9">
        <v>270</v>
      </c>
      <c r="V2" s="9">
        <v>1</v>
      </c>
      <c r="W2" s="9">
        <f>U2*V2</f>
        <v>270</v>
      </c>
    </row>
    <row r="3" spans="1:23" x14ac:dyDescent="0.25">
      <c r="A3" s="2" t="s">
        <v>37</v>
      </c>
      <c r="B3" s="9">
        <v>2400</v>
      </c>
      <c r="C3" s="2" t="s">
        <v>8</v>
      </c>
      <c r="D3" s="10"/>
      <c r="K3" s="2"/>
      <c r="L3" s="2" t="s">
        <v>50</v>
      </c>
      <c r="M3" s="9">
        <v>270</v>
      </c>
      <c r="N3" s="9">
        <v>150</v>
      </c>
      <c r="O3" s="9">
        <f t="shared" ref="O3:O23" si="0">M3*N3</f>
        <v>40500</v>
      </c>
      <c r="S3" s="4"/>
      <c r="T3" s="2" t="s">
        <v>74</v>
      </c>
      <c r="U3" s="9">
        <v>13</v>
      </c>
      <c r="V3" s="9">
        <v>5</v>
      </c>
      <c r="W3" s="9">
        <f>U3*V3</f>
        <v>65</v>
      </c>
    </row>
    <row r="4" spans="1:23" x14ac:dyDescent="0.25">
      <c r="A4" s="2" t="s">
        <v>38</v>
      </c>
      <c r="B4" s="11" t="s">
        <v>48</v>
      </c>
      <c r="C4" s="2" t="s">
        <v>8</v>
      </c>
      <c r="E4" s="6" t="s">
        <v>41</v>
      </c>
      <c r="F4" s="6" t="s">
        <v>38</v>
      </c>
      <c r="G4" s="6" t="s">
        <v>3</v>
      </c>
      <c r="H4" s="6" t="s">
        <v>12</v>
      </c>
      <c r="I4" s="6" t="s">
        <v>14</v>
      </c>
      <c r="K4" s="2"/>
      <c r="L4" s="2" t="s">
        <v>51</v>
      </c>
      <c r="M4" s="9">
        <v>2700</v>
      </c>
      <c r="N4" s="9">
        <v>45</v>
      </c>
      <c r="O4" s="9">
        <f t="shared" si="0"/>
        <v>121500</v>
      </c>
      <c r="S4" s="4"/>
      <c r="T4" s="4"/>
      <c r="U4" s="9"/>
      <c r="V4" s="9"/>
      <c r="W4" s="9">
        <f>SUM(W2:W3)</f>
        <v>335</v>
      </c>
    </row>
    <row r="5" spans="1:23" x14ac:dyDescent="0.25">
      <c r="A5" s="2" t="s">
        <v>39</v>
      </c>
      <c r="B5" s="11" t="s">
        <v>48</v>
      </c>
      <c r="C5" s="2" t="s">
        <v>8</v>
      </c>
      <c r="E5" s="2"/>
      <c r="F5" s="2" t="s">
        <v>45</v>
      </c>
      <c r="G5" s="11" t="s">
        <v>48</v>
      </c>
      <c r="H5" s="9">
        <v>10</v>
      </c>
      <c r="I5" s="4"/>
      <c r="K5" s="2"/>
      <c r="L5" s="2" t="s">
        <v>52</v>
      </c>
      <c r="M5" s="9">
        <v>550</v>
      </c>
      <c r="N5" s="9">
        <v>21</v>
      </c>
      <c r="O5" s="9">
        <f t="shared" si="0"/>
        <v>11550</v>
      </c>
    </row>
    <row r="6" spans="1:23" x14ac:dyDescent="0.25">
      <c r="A6" s="2" t="s">
        <v>40</v>
      </c>
      <c r="B6" s="11" t="s">
        <v>48</v>
      </c>
      <c r="C6" s="2" t="s">
        <v>8</v>
      </c>
      <c r="E6" s="2"/>
      <c r="F6" s="2" t="s">
        <v>44</v>
      </c>
      <c r="G6" s="11" t="s">
        <v>48</v>
      </c>
      <c r="H6" s="9">
        <v>4</v>
      </c>
      <c r="I6" s="4"/>
      <c r="K6" s="2"/>
      <c r="L6" s="2" t="s">
        <v>30</v>
      </c>
      <c r="M6" s="9">
        <v>250</v>
      </c>
      <c r="N6" s="9">
        <v>60</v>
      </c>
      <c r="O6" s="9">
        <f t="shared" si="0"/>
        <v>15000</v>
      </c>
      <c r="S6" s="6" t="s">
        <v>41</v>
      </c>
      <c r="T6" s="6" t="s">
        <v>66</v>
      </c>
      <c r="U6" s="6" t="s">
        <v>3</v>
      </c>
      <c r="V6" s="6" t="s">
        <v>12</v>
      </c>
      <c r="W6" s="6" t="s">
        <v>14</v>
      </c>
    </row>
    <row r="7" spans="1:23" x14ac:dyDescent="0.25">
      <c r="K7" s="2"/>
      <c r="L7" s="2" t="s">
        <v>54</v>
      </c>
      <c r="M7" s="9">
        <v>400</v>
      </c>
      <c r="N7" s="9">
        <v>39</v>
      </c>
      <c r="O7" s="9">
        <f t="shared" si="0"/>
        <v>15600</v>
      </c>
      <c r="S7" s="4"/>
      <c r="T7" s="2" t="s">
        <v>50</v>
      </c>
      <c r="U7" s="9">
        <v>270</v>
      </c>
      <c r="V7" s="9">
        <v>1</v>
      </c>
      <c r="W7" s="9">
        <f>U7*V7</f>
        <v>270</v>
      </c>
    </row>
    <row r="8" spans="1:23" x14ac:dyDescent="0.25">
      <c r="E8" s="6" t="s">
        <v>41</v>
      </c>
      <c r="F8" s="6" t="s">
        <v>39</v>
      </c>
      <c r="G8" s="6" t="s">
        <v>3</v>
      </c>
      <c r="H8" s="6" t="s">
        <v>12</v>
      </c>
      <c r="I8" s="6" t="s">
        <v>14</v>
      </c>
      <c r="K8" s="2"/>
      <c r="L8" s="2" t="s">
        <v>55</v>
      </c>
      <c r="M8" s="9">
        <v>2700</v>
      </c>
      <c r="N8" s="9">
        <v>21</v>
      </c>
      <c r="O8" s="9">
        <f t="shared" si="0"/>
        <v>56700</v>
      </c>
      <c r="S8" s="4"/>
      <c r="T8" s="2" t="s">
        <v>77</v>
      </c>
      <c r="U8" s="9">
        <v>12</v>
      </c>
      <c r="V8" s="9">
        <v>5</v>
      </c>
      <c r="W8" s="9">
        <f>U8*V8</f>
        <v>60</v>
      </c>
    </row>
    <row r="9" spans="1:23" x14ac:dyDescent="0.25">
      <c r="E9" s="2"/>
      <c r="F9" s="2" t="s">
        <v>46</v>
      </c>
      <c r="G9" s="11" t="s">
        <v>48</v>
      </c>
      <c r="H9" s="9">
        <v>10</v>
      </c>
      <c r="I9" s="4"/>
      <c r="K9" s="2"/>
      <c r="L9" s="2" t="s">
        <v>56</v>
      </c>
      <c r="M9" s="9">
        <v>600</v>
      </c>
      <c r="N9" s="9">
        <v>18</v>
      </c>
      <c r="O9" s="9">
        <f t="shared" si="0"/>
        <v>10800</v>
      </c>
      <c r="S9" s="4"/>
      <c r="T9" s="4"/>
      <c r="U9" s="9"/>
      <c r="V9" s="9"/>
      <c r="W9" s="9">
        <f>SUM(W7:W8)</f>
        <v>330</v>
      </c>
    </row>
    <row r="10" spans="1:23" x14ac:dyDescent="0.25">
      <c r="E10" s="2"/>
      <c r="F10" s="2" t="s">
        <v>44</v>
      </c>
      <c r="G10" s="11" t="s">
        <v>48</v>
      </c>
      <c r="H10" s="9">
        <v>4</v>
      </c>
      <c r="I10" s="4"/>
      <c r="K10" s="2"/>
      <c r="L10" s="2" t="s">
        <v>70</v>
      </c>
      <c r="M10" s="9">
        <v>50</v>
      </c>
      <c r="N10" s="9">
        <v>39</v>
      </c>
      <c r="O10" s="9">
        <f t="shared" si="0"/>
        <v>1950</v>
      </c>
      <c r="P10" t="s">
        <v>88</v>
      </c>
    </row>
    <row r="11" spans="1:23" x14ac:dyDescent="0.25">
      <c r="K11" s="2"/>
      <c r="L11" s="2" t="s">
        <v>71</v>
      </c>
      <c r="M11" s="9">
        <v>313</v>
      </c>
      <c r="N11" s="9">
        <v>126</v>
      </c>
      <c r="O11" s="9">
        <f t="shared" si="0"/>
        <v>39438</v>
      </c>
      <c r="P11" t="s">
        <v>67</v>
      </c>
      <c r="S11" s="6" t="s">
        <v>41</v>
      </c>
      <c r="T11" s="6" t="s">
        <v>62</v>
      </c>
      <c r="U11" s="6" t="s">
        <v>3</v>
      </c>
      <c r="V11" s="6" t="s">
        <v>12</v>
      </c>
      <c r="W11" s="6" t="s">
        <v>14</v>
      </c>
    </row>
    <row r="12" spans="1:23" x14ac:dyDescent="0.25">
      <c r="E12" s="6" t="s">
        <v>41</v>
      </c>
      <c r="F12" s="6" t="s">
        <v>40</v>
      </c>
      <c r="G12" s="6" t="s">
        <v>3</v>
      </c>
      <c r="H12" s="6" t="s">
        <v>12</v>
      </c>
      <c r="I12" s="6" t="s">
        <v>14</v>
      </c>
      <c r="K12" s="12"/>
      <c r="L12" s="12" t="s">
        <v>72</v>
      </c>
      <c r="M12" s="13">
        <v>350</v>
      </c>
      <c r="N12" s="13">
        <v>21</v>
      </c>
      <c r="O12" s="13">
        <f t="shared" si="0"/>
        <v>7350</v>
      </c>
      <c r="P12" t="s">
        <v>75</v>
      </c>
      <c r="S12" s="4"/>
      <c r="T12" s="2" t="s">
        <v>80</v>
      </c>
      <c r="U12" s="9">
        <v>70</v>
      </c>
      <c r="V12" s="9">
        <v>2</v>
      </c>
      <c r="W12" s="9">
        <f>U12*V12</f>
        <v>140</v>
      </c>
    </row>
    <row r="13" spans="1:23" x14ac:dyDescent="0.25">
      <c r="A13" s="6" t="s">
        <v>34</v>
      </c>
      <c r="B13" s="6" t="s">
        <v>35</v>
      </c>
      <c r="E13" s="2"/>
      <c r="F13" s="2" t="s">
        <v>47</v>
      </c>
      <c r="G13" s="11" t="s">
        <v>48</v>
      </c>
      <c r="H13" s="9">
        <v>14</v>
      </c>
      <c r="I13" s="4"/>
      <c r="K13" s="2"/>
      <c r="L13" s="2" t="s">
        <v>73</v>
      </c>
      <c r="M13" s="9">
        <v>500</v>
      </c>
      <c r="N13" s="9">
        <v>78</v>
      </c>
      <c r="O13" s="9">
        <f t="shared" si="0"/>
        <v>39000</v>
      </c>
      <c r="P13" t="s">
        <v>82</v>
      </c>
      <c r="S13" s="4"/>
      <c r="T13" s="2" t="s">
        <v>79</v>
      </c>
      <c r="U13" s="9">
        <v>10</v>
      </c>
      <c r="V13" s="9">
        <v>3</v>
      </c>
      <c r="W13" s="9">
        <f>U13*V13</f>
        <v>30</v>
      </c>
    </row>
    <row r="14" spans="1:23" x14ac:dyDescent="0.25">
      <c r="A14" s="2" t="s">
        <v>36</v>
      </c>
      <c r="B14" s="9">
        <v>160000</v>
      </c>
      <c r="E14" s="2"/>
      <c r="F14" s="2" t="s">
        <v>45</v>
      </c>
      <c r="G14" s="11" t="s">
        <v>48</v>
      </c>
      <c r="H14" s="9">
        <v>4</v>
      </c>
      <c r="I14" s="4"/>
      <c r="K14" s="2"/>
      <c r="L14" s="2" t="s">
        <v>57</v>
      </c>
      <c r="M14" s="9">
        <v>500</v>
      </c>
      <c r="N14" s="9">
        <v>9</v>
      </c>
      <c r="O14" s="9">
        <f t="shared" si="0"/>
        <v>4500</v>
      </c>
      <c r="S14" s="4"/>
      <c r="T14" s="4"/>
      <c r="U14" s="9"/>
      <c r="V14" s="9"/>
      <c r="W14" s="9">
        <f>SUM(W12:W13)</f>
        <v>170</v>
      </c>
    </row>
    <row r="15" spans="1:23" x14ac:dyDescent="0.25">
      <c r="A15" s="2" t="s">
        <v>86</v>
      </c>
      <c r="B15" s="9">
        <v>100</v>
      </c>
      <c r="C15" t="s">
        <v>87</v>
      </c>
      <c r="K15" s="2"/>
      <c r="L15" s="2" t="s">
        <v>58</v>
      </c>
      <c r="M15" s="9">
        <v>300</v>
      </c>
      <c r="N15" s="9">
        <v>18</v>
      </c>
      <c r="O15" s="9">
        <f t="shared" si="0"/>
        <v>5400</v>
      </c>
    </row>
    <row r="16" spans="1:23" x14ac:dyDescent="0.25">
      <c r="K16" s="2"/>
      <c r="L16" s="2" t="s">
        <v>60</v>
      </c>
      <c r="M16" s="9">
        <v>500</v>
      </c>
      <c r="N16" s="9">
        <v>18</v>
      </c>
      <c r="O16" s="9">
        <f t="shared" si="0"/>
        <v>9000</v>
      </c>
      <c r="S16" s="6" t="s">
        <v>41</v>
      </c>
      <c r="T16" s="6" t="s">
        <v>30</v>
      </c>
      <c r="U16" s="6" t="s">
        <v>3</v>
      </c>
      <c r="V16" s="6" t="s">
        <v>12</v>
      </c>
      <c r="W16" s="6" t="s">
        <v>14</v>
      </c>
    </row>
    <row r="17" spans="1:24" x14ac:dyDescent="0.25">
      <c r="A17" s="6" t="s">
        <v>33</v>
      </c>
      <c r="B17" s="6" t="s">
        <v>31</v>
      </c>
      <c r="K17" s="12"/>
      <c r="L17" s="12" t="s">
        <v>61</v>
      </c>
      <c r="M17" s="13">
        <v>3000</v>
      </c>
      <c r="N17" s="13">
        <v>12</v>
      </c>
      <c r="O17" s="13">
        <f t="shared" si="0"/>
        <v>36000</v>
      </c>
      <c r="P17" t="s">
        <v>93</v>
      </c>
      <c r="S17" s="4"/>
      <c r="T17" s="2" t="s">
        <v>68</v>
      </c>
      <c r="U17" s="9">
        <v>60</v>
      </c>
      <c r="V17" s="9">
        <v>3</v>
      </c>
      <c r="W17" s="9">
        <f>U17*V17</f>
        <v>180</v>
      </c>
    </row>
    <row r="18" spans="1:24" x14ac:dyDescent="0.25">
      <c r="A18" s="2" t="s">
        <v>32</v>
      </c>
      <c r="B18" s="9">
        <v>1300000</v>
      </c>
      <c r="K18" s="12"/>
      <c r="L18" s="12" t="s">
        <v>62</v>
      </c>
      <c r="M18" s="13">
        <v>170</v>
      </c>
      <c r="N18" s="13">
        <v>18</v>
      </c>
      <c r="O18" s="13">
        <f t="shared" si="0"/>
        <v>3060</v>
      </c>
      <c r="P18" t="s">
        <v>81</v>
      </c>
      <c r="S18" s="4"/>
      <c r="T18" s="2" t="s">
        <v>69</v>
      </c>
      <c r="U18" s="9">
        <v>10</v>
      </c>
      <c r="V18" s="9">
        <v>2</v>
      </c>
      <c r="W18" s="9">
        <f>U18*V18</f>
        <v>20</v>
      </c>
    </row>
    <row r="19" spans="1:24" x14ac:dyDescent="0.25">
      <c r="K19" s="2"/>
      <c r="L19" s="2" t="s">
        <v>63</v>
      </c>
      <c r="M19" s="9">
        <v>400</v>
      </c>
      <c r="N19" s="9">
        <v>18</v>
      </c>
      <c r="O19" s="9">
        <f t="shared" si="0"/>
        <v>7200</v>
      </c>
      <c r="S19" s="4"/>
      <c r="T19" s="4"/>
      <c r="U19" s="4"/>
      <c r="V19" s="4"/>
      <c r="W19" s="9">
        <f>SUM(W17:W18)</f>
        <v>200</v>
      </c>
    </row>
    <row r="20" spans="1:24" x14ac:dyDescent="0.25">
      <c r="K20" s="2"/>
      <c r="L20" s="2" t="s">
        <v>64</v>
      </c>
      <c r="M20" s="9">
        <v>150</v>
      </c>
      <c r="N20" s="9">
        <v>39</v>
      </c>
      <c r="O20" s="9">
        <f t="shared" si="0"/>
        <v>5850</v>
      </c>
    </row>
    <row r="21" spans="1:24" x14ac:dyDescent="0.25">
      <c r="K21" s="2"/>
      <c r="L21" s="2" t="s">
        <v>65</v>
      </c>
      <c r="M21" s="9">
        <v>400</v>
      </c>
      <c r="N21" s="9">
        <v>60</v>
      </c>
      <c r="O21" s="9">
        <f t="shared" si="0"/>
        <v>24000</v>
      </c>
      <c r="S21" s="6" t="s">
        <v>41</v>
      </c>
      <c r="T21" s="6" t="s">
        <v>64</v>
      </c>
      <c r="U21" s="6" t="s">
        <v>3</v>
      </c>
      <c r="V21" s="6" t="s">
        <v>12</v>
      </c>
      <c r="W21" s="6" t="s">
        <v>14</v>
      </c>
    </row>
    <row r="22" spans="1:24" x14ac:dyDescent="0.25">
      <c r="K22" s="12"/>
      <c r="L22" s="12" t="s">
        <v>66</v>
      </c>
      <c r="M22" s="13">
        <v>330</v>
      </c>
      <c r="N22" s="13">
        <v>54</v>
      </c>
      <c r="O22" s="13">
        <f t="shared" si="0"/>
        <v>17820</v>
      </c>
      <c r="P22" t="s">
        <v>78</v>
      </c>
      <c r="S22" s="4"/>
      <c r="T22" s="2" t="s">
        <v>76</v>
      </c>
      <c r="U22" s="9">
        <v>68</v>
      </c>
      <c r="V22" s="9">
        <v>1</v>
      </c>
      <c r="W22" s="9">
        <f>U22*V22</f>
        <v>68</v>
      </c>
    </row>
    <row r="23" spans="1:24" x14ac:dyDescent="0.25">
      <c r="K23" s="2"/>
      <c r="L23" s="2" t="s">
        <v>53</v>
      </c>
      <c r="M23" s="9">
        <v>1300</v>
      </c>
      <c r="N23" s="9">
        <v>18</v>
      </c>
      <c r="O23" s="9">
        <f t="shared" si="0"/>
        <v>23400</v>
      </c>
      <c r="S23" s="4"/>
      <c r="T23" s="2" t="s">
        <v>74</v>
      </c>
      <c r="U23" s="9">
        <v>13</v>
      </c>
      <c r="V23" s="9">
        <v>1</v>
      </c>
      <c r="W23" s="9">
        <f>U23*V23</f>
        <v>13</v>
      </c>
    </row>
    <row r="24" spans="1:24" x14ac:dyDescent="0.25">
      <c r="K24" s="4"/>
      <c r="L24" s="4"/>
      <c r="M24" s="4"/>
      <c r="N24" s="4"/>
      <c r="O24" s="9">
        <f>SUM(O2:O23)</f>
        <v>522708</v>
      </c>
      <c r="S24" s="4"/>
      <c r="T24" s="4"/>
      <c r="U24" s="9"/>
      <c r="V24" s="9"/>
      <c r="W24" s="9">
        <f>SUM(W22:W23)</f>
        <v>81</v>
      </c>
    </row>
    <row r="26" spans="1:24" x14ac:dyDescent="0.25">
      <c r="S26" s="6" t="s">
        <v>41</v>
      </c>
      <c r="T26" s="6" t="s">
        <v>51</v>
      </c>
      <c r="U26" s="6" t="s">
        <v>3</v>
      </c>
      <c r="V26" s="6" t="s">
        <v>12</v>
      </c>
      <c r="W26" s="6" t="s">
        <v>14</v>
      </c>
    </row>
    <row r="27" spans="1:24" x14ac:dyDescent="0.25">
      <c r="S27" s="4"/>
      <c r="T27" s="2" t="s">
        <v>84</v>
      </c>
      <c r="U27" s="9">
        <v>25</v>
      </c>
      <c r="V27" s="9">
        <v>1</v>
      </c>
      <c r="W27" s="9">
        <f>U27*V27</f>
        <v>25</v>
      </c>
    </row>
    <row r="28" spans="1:24" x14ac:dyDescent="0.25">
      <c r="S28" s="4"/>
      <c r="T28" s="2" t="s">
        <v>52</v>
      </c>
      <c r="U28" s="9">
        <v>550</v>
      </c>
      <c r="V28" s="9">
        <v>2</v>
      </c>
      <c r="W28" s="9">
        <f>U28*V28</f>
        <v>1100</v>
      </c>
    </row>
    <row r="29" spans="1:24" x14ac:dyDescent="0.25">
      <c r="S29" s="4"/>
      <c r="T29" s="2" t="s">
        <v>83</v>
      </c>
      <c r="U29" s="9">
        <v>175</v>
      </c>
      <c r="V29" s="9">
        <v>9</v>
      </c>
      <c r="W29" s="9">
        <f>U29*V29</f>
        <v>1575</v>
      </c>
      <c r="X29" t="s">
        <v>85</v>
      </c>
    </row>
    <row r="30" spans="1:24" x14ac:dyDescent="0.25">
      <c r="S30" s="4"/>
      <c r="T30" s="4"/>
      <c r="U30" s="9"/>
      <c r="V30" s="9"/>
      <c r="W30" s="9">
        <f>SUM(W27:W29)</f>
        <v>2700</v>
      </c>
    </row>
    <row r="32" spans="1:24" x14ac:dyDescent="0.25">
      <c r="S32" s="6" t="s">
        <v>41</v>
      </c>
      <c r="T32" s="6" t="s">
        <v>55</v>
      </c>
      <c r="U32" s="6" t="s">
        <v>3</v>
      </c>
      <c r="V32" s="6" t="s">
        <v>12</v>
      </c>
      <c r="W32" s="6" t="s">
        <v>14</v>
      </c>
    </row>
    <row r="33" spans="19:24" x14ac:dyDescent="0.25">
      <c r="S33" s="4"/>
      <c r="T33" s="2" t="s">
        <v>91</v>
      </c>
      <c r="U33" s="9">
        <v>15</v>
      </c>
      <c r="V33" s="9">
        <v>1</v>
      </c>
      <c r="W33" s="9">
        <f>U33*V33</f>
        <v>15</v>
      </c>
    </row>
    <row r="34" spans="19:24" x14ac:dyDescent="0.25">
      <c r="S34" s="4"/>
      <c r="T34" s="2" t="s">
        <v>90</v>
      </c>
      <c r="U34" s="9">
        <v>500</v>
      </c>
      <c r="V34" s="9">
        <v>2</v>
      </c>
      <c r="W34" s="9">
        <f>U34*V34</f>
        <v>1000</v>
      </c>
    </row>
    <row r="35" spans="19:24" x14ac:dyDescent="0.25">
      <c r="S35" s="4"/>
      <c r="T35" s="2" t="s">
        <v>89</v>
      </c>
      <c r="U35" s="9">
        <v>200</v>
      </c>
      <c r="V35" s="9">
        <v>9</v>
      </c>
      <c r="W35" s="9">
        <f>U35*V35</f>
        <v>1800</v>
      </c>
      <c r="X35" t="s">
        <v>85</v>
      </c>
    </row>
    <row r="36" spans="19:24" x14ac:dyDescent="0.25">
      <c r="S36" s="4"/>
      <c r="T36" s="4"/>
      <c r="U36" s="9"/>
      <c r="V36" s="9"/>
      <c r="W36" s="9">
        <f>SUM(W33:W35)</f>
        <v>2815</v>
      </c>
    </row>
    <row r="38" spans="19:24" x14ac:dyDescent="0.25">
      <c r="S38" s="6" t="s">
        <v>41</v>
      </c>
      <c r="T38" s="6" t="s">
        <v>61</v>
      </c>
      <c r="U38" s="6" t="s">
        <v>3</v>
      </c>
      <c r="V38" s="6" t="s">
        <v>12</v>
      </c>
      <c r="W38" s="6" t="s">
        <v>14</v>
      </c>
    </row>
    <row r="39" spans="19:24" x14ac:dyDescent="0.25">
      <c r="S39" s="4"/>
      <c r="T39" s="2" t="s">
        <v>91</v>
      </c>
      <c r="U39" s="9">
        <v>15</v>
      </c>
      <c r="V39" s="9">
        <v>1</v>
      </c>
      <c r="W39" s="9">
        <f>U39*V39</f>
        <v>15</v>
      </c>
    </row>
    <row r="40" spans="19:24" x14ac:dyDescent="0.25">
      <c r="S40" s="4"/>
      <c r="T40" s="2" t="s">
        <v>59</v>
      </c>
      <c r="U40" s="9">
        <v>500</v>
      </c>
      <c r="V40" s="9">
        <v>2</v>
      </c>
      <c r="W40" s="9">
        <f>U40*V40</f>
        <v>1000</v>
      </c>
    </row>
    <row r="41" spans="19:24" x14ac:dyDescent="0.25">
      <c r="S41" s="4"/>
      <c r="T41" s="2" t="s">
        <v>92</v>
      </c>
      <c r="U41" s="9">
        <v>150</v>
      </c>
      <c r="V41" s="9">
        <v>9</v>
      </c>
      <c r="W41" s="9">
        <f>U41*V41</f>
        <v>1350</v>
      </c>
      <c r="X41" t="s">
        <v>85</v>
      </c>
    </row>
    <row r="42" spans="19:24" x14ac:dyDescent="0.25">
      <c r="S42" s="4"/>
      <c r="T42" s="4"/>
      <c r="U42" s="9"/>
      <c r="V42" s="9"/>
      <c r="W42" s="9">
        <f>SUM(W39:W41)</f>
        <v>2365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薩維奈圓蔥</vt:lpstr>
      <vt:lpstr>潛水艇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2026-04-16T09:46:00Z</dcterms:modified>
</cp:coreProperties>
</file>